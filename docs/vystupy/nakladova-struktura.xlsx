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arta\Downloads\"/>
    </mc:Choice>
  </mc:AlternateContent>
  <xr:revisionPtr revIDLastSave="0" documentId="8_{E20C479F-94F8-4339-8733-99FC8894EB88}" xr6:coauthVersionLast="47" xr6:coauthVersionMax="47" xr10:uidLastSave="{00000000-0000-0000-0000-000000000000}"/>
  <bookViews>
    <workbookView xWindow="1950" yWindow="1950" windowWidth="21600" windowHeight="11295" xr2:uid="{F264B990-0BEE-4EE3-99E0-9DEED4E7F7C7}"/>
  </bookViews>
  <sheets>
    <sheet name="Unit_Economics" sheetId="1" r:id="rId1"/>
    <sheet name="CAPEX" sheetId="2" r:id="rId2"/>
    <sheet name="Cashflow_12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5" i="1" l="1"/>
  <c r="D2" i="3" s="1"/>
  <c r="H2" i="3" s="1"/>
  <c r="I2" i="3" s="1"/>
  <c r="F3" i="1"/>
  <c r="F4" i="1"/>
  <c r="F2" i="1"/>
  <c r="D3" i="3"/>
  <c r="H3" i="3" s="1"/>
  <c r="I3" i="3" s="1"/>
  <c r="D4" i="3"/>
  <c r="H4" i="3" s="1"/>
  <c r="I4" i="3" s="1"/>
  <c r="D5" i="3"/>
  <c r="H5" i="3" s="1"/>
  <c r="I5" i="3" s="1"/>
  <c r="D6" i="3"/>
  <c r="H6" i="3" s="1"/>
  <c r="I6" i="3" s="1"/>
  <c r="D7" i="3"/>
  <c r="H7" i="3" s="1"/>
  <c r="I7" i="3" s="1"/>
  <c r="D8" i="3"/>
  <c r="H8" i="3" s="1"/>
  <c r="I8" i="3" s="1"/>
  <c r="D9" i="3"/>
  <c r="H9" i="3" s="1"/>
  <c r="I9" i="3" s="1"/>
  <c r="D10" i="3"/>
  <c r="H10" i="3" s="1"/>
  <c r="I10" i="3" s="1"/>
  <c r="D11" i="3"/>
  <c r="H11" i="3" s="1"/>
  <c r="I11" i="3" s="1"/>
  <c r="D12" i="3"/>
  <c r="H12" i="3" s="1"/>
  <c r="I12" i="3" s="1"/>
  <c r="D13" i="3"/>
  <c r="H13" i="3" s="1"/>
  <c r="I13" i="3" s="1"/>
  <c r="J13" i="3" s="1"/>
  <c r="D6" i="2"/>
  <c r="J4" i="3" l="1"/>
  <c r="J7" i="3"/>
  <c r="J8" i="3"/>
  <c r="J9" i="3"/>
  <c r="J2" i="3"/>
  <c r="K2" i="3" s="1"/>
  <c r="J3" i="3"/>
  <c r="J5" i="3"/>
  <c r="J6" i="3"/>
  <c r="J11" i="3"/>
  <c r="J12" i="3"/>
  <c r="J10" i="3"/>
  <c r="K3" i="3" l="1"/>
  <c r="K4" i="3" s="1"/>
  <c r="K5" i="3" s="1"/>
  <c r="K6" i="3" s="1"/>
  <c r="K7" i="3" s="1"/>
  <c r="K8" i="3" s="1"/>
  <c r="K9" i="3" s="1"/>
  <c r="K10" i="3" s="1"/>
  <c r="K11" i="3" s="1"/>
  <c r="K12" i="3" s="1"/>
  <c r="K13" i="3" s="1"/>
</calcChain>
</file>

<file path=xl/sharedStrings.xml><?xml version="1.0" encoding="utf-8"?>
<sst xmlns="http://schemas.openxmlformats.org/spreadsheetml/2006/main" count="63" uniqueCount="62">
  <si>
    <t>ID</t>
  </si>
  <si>
    <t>Tarif</t>
  </si>
  <si>
    <t>Cena_Mesic_CZK</t>
  </si>
  <si>
    <t>Kapacita_Psu</t>
  </si>
  <si>
    <t>Podil_Treneru</t>
  </si>
  <si>
    <t>Vynos_CZK</t>
  </si>
  <si>
    <t>T1</t>
  </si>
  <si>
    <t>Solo trenér</t>
  </si>
  <si>
    <t>do 15 psů</t>
  </si>
  <si>
    <t>T2</t>
  </si>
  <si>
    <t>Psí škola / Pro</t>
  </si>
  <si>
    <t>neomezeně</t>
  </si>
  <si>
    <t>T3</t>
  </si>
  <si>
    <t>Psovod (klient)</t>
  </si>
  <si>
    <t>1 pes</t>
  </si>
  <si>
    <t>ARPU</t>
  </si>
  <si>
    <t>Průměrný měsíční příjem na trenéra</t>
  </si>
  <si>
    <t>Polozka</t>
  </si>
  <si>
    <t>Poskytovatel</t>
  </si>
  <si>
    <t>Typ_Platby</t>
  </si>
  <si>
    <t>Castka_CZK</t>
  </si>
  <si>
    <t>Poznamka</t>
  </si>
  <si>
    <t>Apple Developer Program</t>
  </si>
  <si>
    <t>Apple Inc.</t>
  </si>
  <si>
    <t>Roční poplatek</t>
  </si>
  <si>
    <t>Nutné pro iOS App Store ($99)</t>
  </si>
  <si>
    <t>Google Play Console</t>
  </si>
  <si>
    <t>Google LLC</t>
  </si>
  <si>
    <t>Jednorázový poplatek</t>
  </si>
  <si>
    <t>Vývojářský účet ($25)</t>
  </si>
  <si>
    <t>Doména a DNS (.cz / .app)</t>
  </si>
  <si>
    <t>Wedos / Cloudflare</t>
  </si>
  <si>
    <t>Včetně základního SSL</t>
  </si>
  <si>
    <t>VOP a GDPR šablony</t>
  </si>
  <si>
    <t>Open-source / Vzor</t>
  </si>
  <si>
    <t>Jednorázově</t>
  </si>
  <si>
    <t>Studentský pilot</t>
  </si>
  <si>
    <t>CELKEM_CAPEX</t>
  </si>
  <si>
    <t>Počáteční investice celkem</t>
  </si>
  <si>
    <t>Mesic</t>
  </si>
  <si>
    <t>Platici_Treneri</t>
  </si>
  <si>
    <t>Aktivni_Psi</t>
  </si>
  <si>
    <t>Prijmy_Celkem</t>
  </si>
  <si>
    <t>Server_DB</t>
  </si>
  <si>
    <t>Frontend_API</t>
  </si>
  <si>
    <t>Notifikace</t>
  </si>
  <si>
    <t>Poplatky_Brany</t>
  </si>
  <si>
    <t>OPEX_Celkem</t>
  </si>
  <si>
    <t>Mesicni_Zisk</t>
  </si>
  <si>
    <t>Kumulativni_Cashflow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</si>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</sst>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Kč-405]_-;\-* #,##0.00\ [$Kč-405]_-;_-* &quot;-&quot;??\ [$Kč-405]_-;_-@_-"/>
  </numFmts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2E07-AFE1-4EA3-83C5-3AD2C81A753A}">
  <dimension ref="A1:F5"/>
  <sheetViews>
    <sheetView tabSelected="1" workbookViewId="0">
      <selection activeCell="C12" sqref="C12"/>
    </sheetView>
  </sheetViews>
  <sheetFormatPr defaultRowHeight="15" x14ac:dyDescent="0.25"/>
  <cols>
    <col min="2" max="2" width="33.140625" bestFit="1" customWidth="1"/>
    <col min="3" max="3" width="15.7109375" bestFit="1" customWidth="1"/>
    <col min="4" max="4" width="13.140625" bestFit="1" customWidth="1"/>
    <col min="5" max="5" width="13.28515625" bestFit="1" customWidth="1"/>
    <col min="6" max="6" width="10.4257812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490</v>
      </c>
      <c r="D2" t="s">
        <v>8</v>
      </c>
      <c r="E2" s="1">
        <v>0.7</v>
      </c>
      <c r="F2">
        <f>C2*E2</f>
        <v>343</v>
      </c>
    </row>
    <row r="3" spans="1:6" x14ac:dyDescent="0.25">
      <c r="A3" t="s">
        <v>9</v>
      </c>
      <c r="B3" t="s">
        <v>10</v>
      </c>
      <c r="C3">
        <v>990</v>
      </c>
      <c r="D3" t="s">
        <v>11</v>
      </c>
      <c r="E3" s="1">
        <v>0.3</v>
      </c>
      <c r="F3">
        <f t="shared" ref="F3:F4" si="0">C3*E3</f>
        <v>297</v>
      </c>
    </row>
    <row r="4" spans="1:6" x14ac:dyDescent="0.25">
      <c r="A4" t="s">
        <v>12</v>
      </c>
      <c r="B4" t="s">
        <v>13</v>
      </c>
      <c r="C4">
        <v>0</v>
      </c>
      <c r="D4" t="s">
        <v>14</v>
      </c>
      <c r="E4" s="1">
        <v>0</v>
      </c>
      <c r="F4">
        <f t="shared" si="0"/>
        <v>0</v>
      </c>
    </row>
    <row r="5" spans="1:6" x14ac:dyDescent="0.25">
      <c r="A5" t="s">
        <v>15</v>
      </c>
      <c r="B5" t="s">
        <v>16</v>
      </c>
      <c r="E5" s="1">
        <v>1</v>
      </c>
      <c r="F5">
        <f>SUM(F2:F4)</f>
        <v>640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46A3-8946-4E73-A7FE-63755362577A}">
  <dimension ref="A1:E6"/>
  <sheetViews>
    <sheetView workbookViewId="0">
      <selection activeCell="D6" sqref="D6"/>
    </sheetView>
  </sheetViews>
  <sheetFormatPr defaultRowHeight="15" x14ac:dyDescent="0.25"/>
  <cols>
    <col min="1" max="1" width="24.42578125" bestFit="1" customWidth="1"/>
    <col min="2" max="2" width="25" bestFit="1" customWidth="1"/>
    <col min="3" max="3" width="20.140625" bestFit="1" customWidth="1"/>
    <col min="4" max="4" width="11.140625" bestFit="1" customWidth="1"/>
    <col min="5" max="5" width="27.28515625" bestFit="1" customWidth="1"/>
  </cols>
  <sheetData>
    <row r="1" spans="1:5" x14ac:dyDescent="0.2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t="s">
        <v>22</v>
      </c>
      <c r="B2" t="s">
        <v>23</v>
      </c>
      <c r="C2" t="s">
        <v>24</v>
      </c>
      <c r="D2">
        <v>2400</v>
      </c>
      <c r="E2" t="s">
        <v>25</v>
      </c>
    </row>
    <row r="3" spans="1:5" x14ac:dyDescent="0.25">
      <c r="A3" t="s">
        <v>26</v>
      </c>
      <c r="B3" t="s">
        <v>27</v>
      </c>
      <c r="C3" t="s">
        <v>28</v>
      </c>
      <c r="D3">
        <v>600</v>
      </c>
      <c r="E3" t="s">
        <v>29</v>
      </c>
    </row>
    <row r="4" spans="1:5" x14ac:dyDescent="0.25">
      <c r="A4" t="s">
        <v>30</v>
      </c>
      <c r="B4" t="s">
        <v>31</v>
      </c>
      <c r="C4" t="s">
        <v>24</v>
      </c>
      <c r="D4">
        <v>400</v>
      </c>
      <c r="E4" t="s">
        <v>32</v>
      </c>
    </row>
    <row r="5" spans="1:5" x14ac:dyDescent="0.25">
      <c r="A5" t="s">
        <v>33</v>
      </c>
      <c r="B5" t="s">
        <v>34</v>
      </c>
      <c r="C5" t="s">
        <v>35</v>
      </c>
      <c r="D5">
        <v>0</v>
      </c>
      <c r="E5" t="s">
        <v>36</v>
      </c>
    </row>
    <row r="6" spans="1:5" x14ac:dyDescent="0.25">
      <c r="A6" t="s">
        <v>37</v>
      </c>
      <c r="B6" t="s">
        <v>38</v>
      </c>
      <c r="D6">
        <f>SUM(D2:D5)</f>
        <v>3400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4353-197F-4CB6-878A-2EEA6CD952C4}">
  <dimension ref="A1:K13"/>
  <sheetViews>
    <sheetView workbookViewId="0">
      <selection activeCell="E2" sqref="E2"/>
    </sheetView>
  </sheetViews>
  <sheetFormatPr defaultRowHeight="15" x14ac:dyDescent="0.25"/>
  <cols>
    <col min="2" max="2" width="13.7109375" bestFit="1" customWidth="1"/>
    <col min="3" max="3" width="10.42578125" bestFit="1" customWidth="1"/>
    <col min="4" max="4" width="26" style="2" bestFit="1" customWidth="1"/>
    <col min="5" max="5" width="12" style="2" bestFit="1" customWidth="1"/>
    <col min="6" max="6" width="12.7109375" style="2" bestFit="1" customWidth="1"/>
    <col min="7" max="7" width="10.5703125" style="2" bestFit="1" customWidth="1"/>
    <col min="8" max="8" width="14.7109375" style="2" bestFit="1" customWidth="1"/>
    <col min="9" max="9" width="13.28515625" style="2" bestFit="1" customWidth="1"/>
    <col min="10" max="10" width="13.140625" style="2" bestFit="1" customWidth="1"/>
    <col min="11" max="11" width="21" style="2" bestFit="1" customWidth="1"/>
  </cols>
  <sheetData>
    <row r="1" spans="1:11" x14ac:dyDescent="0.25">
      <c r="A1" s="3" t="s">
        <v>39</v>
      </c>
      <c r="B1" s="3" t="s">
        <v>40</v>
      </c>
      <c r="C1" s="3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</row>
    <row r="2" spans="1:11" x14ac:dyDescent="0.25">
      <c r="A2" t="s">
        <v>50</v>
      </c>
      <c r="B2">
        <v>0</v>
      </c>
      <c r="C2">
        <v>15</v>
      </c>
      <c r="D2" s="2">
        <f>B2*Unit_Economics!$F$5</f>
        <v>0</v>
      </c>
      <c r="E2" s="2">
        <v>0</v>
      </c>
      <c r="F2" s="2">
        <v>0</v>
      </c>
      <c r="G2" s="2">
        <v>0</v>
      </c>
      <c r="H2" s="2">
        <f>D2*0.02</f>
        <v>0</v>
      </c>
      <c r="I2" s="2">
        <f>SUM(E2:H2)</f>
        <v>0</v>
      </c>
      <c r="J2" s="2">
        <f>D2-I2</f>
        <v>0</v>
      </c>
      <c r="K2" s="2">
        <f>-CAPEX!$D$6+J2</f>
        <v>-3400</v>
      </c>
    </row>
    <row r="3" spans="1:11" x14ac:dyDescent="0.25">
      <c r="A3" t="s">
        <v>51</v>
      </c>
      <c r="B3">
        <v>0</v>
      </c>
      <c r="C3">
        <v>25</v>
      </c>
      <c r="D3" s="2">
        <f>B3*Unit_Economics!$F$5</f>
        <v>0</v>
      </c>
      <c r="E3" s="2">
        <v>0</v>
      </c>
      <c r="F3" s="2">
        <v>0</v>
      </c>
      <c r="G3" s="2">
        <v>0</v>
      </c>
      <c r="H3" s="2">
        <f>D3*0.02</f>
        <v>0</v>
      </c>
      <c r="I3" s="2">
        <f>SUM(E3:H3)</f>
        <v>0</v>
      </c>
      <c r="J3" s="2">
        <f>D3-I3</f>
        <v>0</v>
      </c>
      <c r="K3" s="2">
        <f>K2+J3</f>
        <v>-3400</v>
      </c>
    </row>
    <row r="4" spans="1:11" x14ac:dyDescent="0.25">
      <c r="A4" t="s">
        <v>52</v>
      </c>
      <c r="B4">
        <v>0</v>
      </c>
      <c r="C4">
        <v>35</v>
      </c>
      <c r="D4" s="2">
        <f>B4*Unit_Economics!$F$5</f>
        <v>0</v>
      </c>
      <c r="E4" s="2">
        <v>0</v>
      </c>
      <c r="F4" s="2">
        <v>0</v>
      </c>
      <c r="G4" s="2">
        <v>0</v>
      </c>
      <c r="H4" s="2">
        <f>D4*0.02</f>
        <v>0</v>
      </c>
      <c r="I4" s="2">
        <f>SUM(E4:H4)</f>
        <v>0</v>
      </c>
      <c r="J4" s="2">
        <f>D4-I4</f>
        <v>0</v>
      </c>
      <c r="K4" s="2">
        <f>K3+J4</f>
        <v>-3400</v>
      </c>
    </row>
    <row r="5" spans="1:11" x14ac:dyDescent="0.25">
      <c r="A5" t="s">
        <v>53</v>
      </c>
      <c r="B5">
        <v>3</v>
      </c>
      <c r="C5">
        <v>45</v>
      </c>
      <c r="D5" s="2">
        <f>B5*Unit_Economics!$F$5</f>
        <v>1920</v>
      </c>
      <c r="E5" s="2">
        <v>600</v>
      </c>
      <c r="F5" s="2">
        <v>0</v>
      </c>
      <c r="G5" s="2">
        <v>0</v>
      </c>
      <c r="H5" s="2">
        <f>D5*0.02</f>
        <v>38.4</v>
      </c>
      <c r="I5" s="2">
        <f>SUM(E5:H5)</f>
        <v>638.4</v>
      </c>
      <c r="J5" s="2">
        <f>D5-I5</f>
        <v>1281.5999999999999</v>
      </c>
      <c r="K5" s="2">
        <f>K4+J5</f>
        <v>-2118.4</v>
      </c>
    </row>
    <row r="6" spans="1:11" x14ac:dyDescent="0.25">
      <c r="A6" t="s">
        <v>54</v>
      </c>
      <c r="B6">
        <v>6</v>
      </c>
      <c r="C6">
        <v>70</v>
      </c>
      <c r="D6" s="2">
        <f>B6*Unit_Economics!$F$5</f>
        <v>3840</v>
      </c>
      <c r="E6" s="2">
        <v>600</v>
      </c>
      <c r="F6" s="2">
        <v>0</v>
      </c>
      <c r="G6" s="2">
        <v>0</v>
      </c>
      <c r="H6" s="2">
        <f>D6*0.02</f>
        <v>76.8</v>
      </c>
      <c r="I6" s="2">
        <f>SUM(E6:H6)</f>
        <v>676.8</v>
      </c>
      <c r="J6" s="2">
        <f>D6-I6</f>
        <v>3163.2</v>
      </c>
      <c r="K6" s="2">
        <f>K5+J6</f>
        <v>1044.7999999999997</v>
      </c>
    </row>
    <row r="7" spans="1:11" x14ac:dyDescent="0.25">
      <c r="A7" t="s">
        <v>55</v>
      </c>
      <c r="B7">
        <v>10</v>
      </c>
      <c r="C7">
        <v>110</v>
      </c>
      <c r="D7" s="2">
        <f>B7*Unit_Economics!$F$5</f>
        <v>6400</v>
      </c>
      <c r="E7" s="2">
        <v>600</v>
      </c>
      <c r="F7" s="2">
        <v>0</v>
      </c>
      <c r="G7" s="2">
        <v>0</v>
      </c>
      <c r="H7" s="2">
        <f>D7*0.02</f>
        <v>128</v>
      </c>
      <c r="I7" s="2">
        <f>SUM(E7:H7)</f>
        <v>728</v>
      </c>
      <c r="J7" s="2">
        <f>D7-I7</f>
        <v>5672</v>
      </c>
      <c r="K7" s="2">
        <f>K6+J7</f>
        <v>6716.7999999999993</v>
      </c>
    </row>
    <row r="8" spans="1:11" x14ac:dyDescent="0.25">
      <c r="A8" t="s">
        <v>56</v>
      </c>
      <c r="B8">
        <v>13</v>
      </c>
      <c r="C8">
        <v>140</v>
      </c>
      <c r="D8" s="2">
        <f>B8*Unit_Economics!$F$5</f>
        <v>8320</v>
      </c>
      <c r="E8" s="2">
        <v>600</v>
      </c>
      <c r="F8" s="2">
        <v>0</v>
      </c>
      <c r="G8" s="2">
        <v>0</v>
      </c>
      <c r="H8" s="2">
        <f>D8*0.02</f>
        <v>166.4</v>
      </c>
      <c r="I8" s="2">
        <f>SUM(E8:H8)</f>
        <v>766.4</v>
      </c>
      <c r="J8" s="2">
        <f>D8-I8</f>
        <v>7553.6</v>
      </c>
      <c r="K8" s="2">
        <f>K7+J8</f>
        <v>14270.4</v>
      </c>
    </row>
    <row r="9" spans="1:11" x14ac:dyDescent="0.25">
      <c r="A9" t="s">
        <v>57</v>
      </c>
      <c r="B9">
        <v>16</v>
      </c>
      <c r="C9">
        <v>180</v>
      </c>
      <c r="D9" s="2">
        <f>B9*Unit_Economics!$F$5</f>
        <v>10240</v>
      </c>
      <c r="E9" s="2">
        <v>1200</v>
      </c>
      <c r="F9" s="2">
        <v>500</v>
      </c>
      <c r="G9" s="2">
        <v>350</v>
      </c>
      <c r="H9" s="2">
        <f>D9*0.02</f>
        <v>204.8</v>
      </c>
      <c r="I9" s="2">
        <f>SUM(E9:H9)</f>
        <v>2254.8000000000002</v>
      </c>
      <c r="J9" s="2">
        <f>D9-I9</f>
        <v>7985.2</v>
      </c>
      <c r="K9" s="2">
        <f>K8+J9</f>
        <v>22255.599999999999</v>
      </c>
    </row>
    <row r="10" spans="1:11" x14ac:dyDescent="0.25">
      <c r="A10" t="s">
        <v>58</v>
      </c>
      <c r="B10">
        <v>20</v>
      </c>
      <c r="C10">
        <v>230</v>
      </c>
      <c r="D10" s="2">
        <f>B10*Unit_Economics!$F$5</f>
        <v>12800</v>
      </c>
      <c r="E10" s="2">
        <v>1200</v>
      </c>
      <c r="F10" s="2">
        <v>500</v>
      </c>
      <c r="G10" s="2">
        <v>350</v>
      </c>
      <c r="H10" s="2">
        <f>D10*0.02</f>
        <v>256</v>
      </c>
      <c r="I10" s="2">
        <f>SUM(E10:H10)</f>
        <v>2306</v>
      </c>
      <c r="J10" s="2">
        <f>D10-I10</f>
        <v>10494</v>
      </c>
      <c r="K10" s="2">
        <f>K9+J10</f>
        <v>32749.599999999999</v>
      </c>
    </row>
    <row r="11" spans="1:11" x14ac:dyDescent="0.25">
      <c r="A11" t="s">
        <v>59</v>
      </c>
      <c r="B11">
        <v>23</v>
      </c>
      <c r="C11">
        <v>270</v>
      </c>
      <c r="D11" s="2">
        <f>B11*Unit_Economics!$F$5</f>
        <v>14720</v>
      </c>
      <c r="E11" s="2">
        <v>1200</v>
      </c>
      <c r="F11" s="2">
        <v>500</v>
      </c>
      <c r="G11" s="2">
        <v>350</v>
      </c>
      <c r="H11" s="2">
        <f>D11*0.02</f>
        <v>294.40000000000003</v>
      </c>
      <c r="I11" s="2">
        <f>SUM(E11:H11)</f>
        <v>2344.4</v>
      </c>
      <c r="J11" s="2">
        <f>D11-I11</f>
        <v>12375.6</v>
      </c>
      <c r="K11" s="2">
        <f>K10+J11</f>
        <v>45125.2</v>
      </c>
    </row>
    <row r="12" spans="1:11" x14ac:dyDescent="0.25">
      <c r="A12" t="s">
        <v>60</v>
      </c>
      <c r="B12">
        <v>26</v>
      </c>
      <c r="C12">
        <v>320</v>
      </c>
      <c r="D12" s="2">
        <f>B12*Unit_Economics!$F$5</f>
        <v>16640</v>
      </c>
      <c r="E12" s="2">
        <v>1200</v>
      </c>
      <c r="F12" s="2">
        <v>500</v>
      </c>
      <c r="G12" s="2">
        <v>350</v>
      </c>
      <c r="H12" s="2">
        <f>D12*0.02</f>
        <v>332.8</v>
      </c>
      <c r="I12" s="2">
        <f>SUM(E12:H12)</f>
        <v>2382.8000000000002</v>
      </c>
      <c r="J12" s="2">
        <f>D12-I12</f>
        <v>14257.2</v>
      </c>
      <c r="K12" s="2">
        <f>K11+J12</f>
        <v>59382.399999999994</v>
      </c>
    </row>
    <row r="13" spans="1:11" x14ac:dyDescent="0.25">
      <c r="A13" t="s">
        <v>61</v>
      </c>
      <c r="B13">
        <v>30</v>
      </c>
      <c r="C13">
        <v>380</v>
      </c>
      <c r="D13" s="2">
        <f>B13*Unit_Economics!$F$5</f>
        <v>19200</v>
      </c>
      <c r="E13" s="2">
        <v>1200</v>
      </c>
      <c r="F13" s="2">
        <v>500</v>
      </c>
      <c r="G13" s="2">
        <v>350</v>
      </c>
      <c r="H13" s="2">
        <f>D13*0.02</f>
        <v>384</v>
      </c>
      <c r="I13" s="2">
        <f>SUM(E13:H13)</f>
        <v>2434</v>
      </c>
      <c r="J13" s="2">
        <f>D13-I13</f>
        <v>16766</v>
      </c>
      <c r="K13" s="2">
        <f>K12+J13</f>
        <v>76148.399999999994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Unit_Economics</vt:lpstr>
      <vt:lpstr>CAPEX</vt:lpstr>
      <vt:lpstr>Cashflow_12M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Indra</dc:creator>
  <cp:lastModifiedBy>Martin Indra</cp:lastModifiedBy>
  <dcterms:created xsi:type="dcterms:W3CDTF">2026-10-07T15:31:26Z</dcterms:created>
  <dcterms:modified xsi:type="dcterms:W3CDTF">2026-10-07T15:37:53Z</dcterms:modified>
</cp:coreProperties>
</file>